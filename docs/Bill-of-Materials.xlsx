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M:\acasa\12_E_PAPER_Projects\Project2_Weather_Forecast_Simple\Version1\"/>
    </mc:Choice>
  </mc:AlternateContent>
  <xr:revisionPtr revIDLastSave="0" documentId="13_ncr:1_{2975E895-3701-4302-AF60-3CB845497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8" i="1"/>
  <c r="G7" i="1"/>
  <c r="G3" i="1"/>
  <c r="G4" i="1"/>
  <c r="G5" i="1"/>
  <c r="G6" i="1"/>
  <c r="G11" i="1"/>
  <c r="G12" i="1"/>
  <c r="G10" i="1"/>
  <c r="G9" i="1"/>
</calcChain>
</file>

<file path=xl/sharedStrings.xml><?xml version="1.0" encoding="utf-8"?>
<sst xmlns="http://schemas.openxmlformats.org/spreadsheetml/2006/main" count="68" uniqueCount="55">
  <si>
    <t>MHSS1105A</t>
  </si>
  <si>
    <t>Parts</t>
  </si>
  <si>
    <t>Assembly</t>
  </si>
  <si>
    <t>Item</t>
  </si>
  <si>
    <t>Manufacturer</t>
  </si>
  <si>
    <t>Vendor</t>
  </si>
  <si>
    <t>Qty</t>
  </si>
  <si>
    <t>Cost each</t>
  </si>
  <si>
    <t>Cost total</t>
  </si>
  <si>
    <t>Part type</t>
  </si>
  <si>
    <t>Designators</t>
  </si>
  <si>
    <t>Notes</t>
  </si>
  <si>
    <t>Mouser</t>
  </si>
  <si>
    <t>Apem</t>
  </si>
  <si>
    <t>Slide Switch</t>
  </si>
  <si>
    <t>SW1</t>
  </si>
  <si>
    <t>https://www.mouser.com/ProductDetail/Apem/MHSS1105A?qs=sGAEpiMZZMsqIr59i2oRct8HFZjyPfjAbIodp11rZFk%3D</t>
  </si>
  <si>
    <t>ESP32-C3 Supermini Development Board</t>
  </si>
  <si>
    <t>Amazon</t>
  </si>
  <si>
    <t>Waveshare</t>
  </si>
  <si>
    <t>2.9" Black-White E-Paper Display Module</t>
  </si>
  <si>
    <t>TP4056 Charging Module with booster</t>
  </si>
  <si>
    <t>Unknown</t>
  </si>
  <si>
    <t>MakerHawk 3.7V Lipo Battery 1000mAh</t>
  </si>
  <si>
    <t>MakerHawk</t>
  </si>
  <si>
    <t>SPR1CT52R331J</t>
  </si>
  <si>
    <t>Mfr. part no.</t>
  </si>
  <si>
    <t>330 Ohm resistor</t>
  </si>
  <si>
    <t>https://www.mouser.com/ProductDetail/KOA-Speer/SPR1CT52R331J?qs=sGAEpiMZZMukHu%252BjC5l7YWjN9FVc%2FreMcaupilkwY88%3D</t>
  </si>
  <si>
    <t>Koa</t>
  </si>
  <si>
    <t>SPR2CT521R223J</t>
  </si>
  <si>
    <t>22K  Ohm resistor</t>
  </si>
  <si>
    <t>R3</t>
  </si>
  <si>
    <t>R1,R2</t>
  </si>
  <si>
    <t>https://www.mouser.com/ProductDetail/KOA-Speer/SPR2CT521R223J?qs=sGAEpiMZZMukHu%252BjC5l7YW4j3LyMYq2t7nvnHa30c5M%3D</t>
  </si>
  <si>
    <t>LED1</t>
  </si>
  <si>
    <t>HLMP-Y301-F0000</t>
  </si>
  <si>
    <t>Red LED 3mm</t>
  </si>
  <si>
    <t>Header 90 degree 8 pin</t>
  </si>
  <si>
    <t>Header 2 pin</t>
  </si>
  <si>
    <t>Broadcom</t>
  </si>
  <si>
    <t>https://www.mouser.com/ProductDetail/Broadcom-Avago/HLMP-Y301-F0000?qs=R5enTUWy33pCzTlKxiv7qw%3D%3D</t>
  </si>
  <si>
    <t>90121-0128</t>
  </si>
  <si>
    <t>Molex</t>
  </si>
  <si>
    <t>https://www.mouser.com/ProductDetail/Molex/90121-0128?qs=PvP5v7EimsmfZ8WDsc6%252BuA%3D%3D</t>
  </si>
  <si>
    <t>22-23-2021</t>
  </si>
  <si>
    <t>https://www.mouser.com/ProductDetail/Molex/22-23-2021?qs=ILqg114nvd4YKlRlbo3yMg%3D%3D</t>
  </si>
  <si>
    <t xml:space="preserve">https://www.amazon.com/Waveshare-Development-ESP32-C3FN4-Single-Core-Processor/dp/B0CR2XP59Y/ </t>
  </si>
  <si>
    <t xml:space="preserve">https://www.amazon.com/2-9inch-Module-Resolution-Display-Electronic/dp/B07P6MJPTD </t>
  </si>
  <si>
    <t xml:space="preserve">https://www.amazon.com/Battery-Charger-Discharge-Integrated-Lithium/dp/B098989NRZ </t>
  </si>
  <si>
    <t xml:space="preserve">https://www.amazon.com/MakerHawk-Rechargeable-Integrated-Protection-Electronic/dp/B0DPZVBKMY?th=1 </t>
  </si>
  <si>
    <t>U1</t>
  </si>
  <si>
    <t>U2</t>
  </si>
  <si>
    <t>BAT</t>
  </si>
  <si>
    <t>EDP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</si>
</sst>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F111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1" fontId="4" fillId="0" borderId="1" xfId="0" applyNumberFormat="1" applyFont="1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164" fontId="4" fillId="2" borderId="1" xfId="0" applyNumberFormat="1" applyFont="1" applyFill="1" applyBorder="1" applyAlignment="1">
      <alignment horizontal="left" vertical="top"/>
    </xf>
    <xf numFmtId="1" fontId="3" fillId="2" borderId="1" xfId="0" applyNumberFormat="1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0" fontId="1" fillId="0" borderId="1" xfId="0" applyFont="1" applyBorder="1"/>
    <xf numFmtId="0" fontId="6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49" fontId="8" fillId="0" borderId="1" xfId="1" applyNumberFormat="1" applyFont="1" applyFill="1" applyBorder="1" applyAlignment="1" applyProtection="1">
      <alignment horizontal="left" vertical="top"/>
      <protection locked="0"/>
    </xf>
    <xf numFmtId="49" fontId="7" fillId="0" borderId="1" xfId="0" applyNumberFormat="1" applyFont="1" applyFill="1" applyBorder="1" applyAlignment="1" applyProtection="1">
      <alignment horizontal="left" vertical="top"/>
      <protection locked="0"/>
    </xf>
    <xf numFmtId="0" fontId="7" fillId="0" borderId="1" xfId="0" applyFont="1" applyBorder="1"/>
    <xf numFmtId="0" fontId="8" fillId="0" borderId="1" xfId="1" applyFont="1" applyBorder="1"/>
    <xf numFmtId="1" fontId="7" fillId="0" borderId="1" xfId="0" applyNumberFormat="1" applyFont="1" applyBorder="1" applyAlignment="1" applyProtection="1">
      <alignment horizontal="center" vertical="top"/>
      <protection locked="0"/>
    </xf>
    <xf numFmtId="164" fontId="7" fillId="0" borderId="1" xfId="0" applyNumberFormat="1" applyFont="1" applyBorder="1" applyAlignment="1" applyProtection="1">
      <alignment horizontal="center" vertical="top"/>
      <protection locked="0"/>
    </xf>
    <xf numFmtId="0" fontId="7" fillId="0" borderId="1" xfId="0" applyFont="1" applyBorder="1" applyAlignment="1">
      <alignment horizontal="center"/>
    </xf>
    <xf numFmtId="6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5" fillId="3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2-9inch-Module-Resolution-Display-Electronic/dp/B07P6MJPTD" TargetMode="External"/><Relationship Id="rId2" Type="http://schemas.openxmlformats.org/officeDocument/2006/relationships/hyperlink" Target="https://www.amazon.com/Waveshare-Development-ESP32-C3FN4-Single-Core-Processor/dp/B0CR2XP59Y/" TargetMode="External"/><Relationship Id="rId1" Type="http://schemas.openxmlformats.org/officeDocument/2006/relationships/hyperlink" Target="https://www.mouser.com/ProductDetail/Apem/MHSS1105A?qs=sGAEpiMZZMsqIr59i2oRct8HFZjyPfjAbIodp11rZFk%3D" TargetMode="External"/><Relationship Id="rId5" Type="http://schemas.openxmlformats.org/officeDocument/2006/relationships/hyperlink" Target="https://www.amazon.com/MakerHawk-Rechargeable-Integrated-Protection-Electronic/dp/B0DPZVBKMY?th=1" TargetMode="External"/><Relationship Id="rId4" Type="http://schemas.openxmlformats.org/officeDocument/2006/relationships/hyperlink" Target="https://www.amazon.com/Battery-Charger-Discharge-Integrated-Lithium/dp/B098989N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G21" sqref="G21"/>
    </sheetView>
  </sheetViews>
  <sheetFormatPr defaultRowHeight="14.4" x14ac:dyDescent="0.3"/>
  <cols>
    <col min="1" max="1" width="6" customWidth="1"/>
    <col min="2" max="2" width="16.33203125" customWidth="1"/>
    <col min="3" max="3" width="10.88671875" customWidth="1"/>
    <col min="4" max="4" width="18.21875" customWidth="1"/>
    <col min="6" max="6" width="11.77734375" customWidth="1"/>
    <col min="7" max="7" width="10.5546875" customWidth="1"/>
    <col min="8" max="8" width="37.109375" customWidth="1"/>
    <col min="9" max="9" width="11.77734375" customWidth="1"/>
    <col min="10" max="10" width="120.21875" customWidth="1"/>
  </cols>
  <sheetData>
    <row r="1" spans="1:10" x14ac:dyDescent="0.3">
      <c r="A1" s="5" t="s">
        <v>1</v>
      </c>
      <c r="B1" s="6"/>
      <c r="C1" s="6"/>
      <c r="D1" s="6"/>
      <c r="E1" s="6"/>
      <c r="F1" s="6"/>
      <c r="G1" s="6"/>
      <c r="H1" s="7" t="s">
        <v>2</v>
      </c>
      <c r="I1" s="7"/>
      <c r="J1" s="7"/>
    </row>
    <row r="2" spans="1:10" x14ac:dyDescent="0.3">
      <c r="A2" s="2" t="s">
        <v>3</v>
      </c>
      <c r="B2" s="3" t="s">
        <v>4</v>
      </c>
      <c r="C2" s="3" t="s">
        <v>5</v>
      </c>
      <c r="D2" s="3" t="s">
        <v>26</v>
      </c>
      <c r="E2" s="2" t="s">
        <v>6</v>
      </c>
      <c r="F2" s="4" t="s">
        <v>7</v>
      </c>
      <c r="G2" s="4" t="s">
        <v>8</v>
      </c>
      <c r="H2" s="3" t="s">
        <v>9</v>
      </c>
      <c r="I2" s="3" t="s">
        <v>10</v>
      </c>
      <c r="J2" s="3" t="s">
        <v>11</v>
      </c>
    </row>
    <row r="3" spans="1:10" ht="14.4" customHeight="1" x14ac:dyDescent="0.3">
      <c r="A3" s="1"/>
      <c r="B3" s="10" t="s">
        <v>13</v>
      </c>
      <c r="C3" s="10" t="s">
        <v>12</v>
      </c>
      <c r="D3" s="8" t="s">
        <v>0</v>
      </c>
      <c r="E3" s="15">
        <v>1</v>
      </c>
      <c r="F3" s="16">
        <v>0.95</v>
      </c>
      <c r="G3" s="16">
        <f>$F3*$E3</f>
        <v>0.95</v>
      </c>
      <c r="H3" s="10" t="s">
        <v>14</v>
      </c>
      <c r="I3" s="10" t="s">
        <v>15</v>
      </c>
      <c r="J3" s="11" t="s">
        <v>16</v>
      </c>
    </row>
    <row r="4" spans="1:10" ht="14.4" customHeight="1" x14ac:dyDescent="0.3">
      <c r="A4" s="1"/>
      <c r="B4" s="10" t="s">
        <v>29</v>
      </c>
      <c r="C4" s="10" t="s">
        <v>12</v>
      </c>
      <c r="D4" s="8" t="s">
        <v>25</v>
      </c>
      <c r="E4" s="15">
        <v>1</v>
      </c>
      <c r="F4" s="16">
        <v>0.38</v>
      </c>
      <c r="G4" s="16">
        <f t="shared" ref="G3:G12" si="0">$F4*$E4</f>
        <v>0.38</v>
      </c>
      <c r="H4" s="10" t="s">
        <v>27</v>
      </c>
      <c r="I4" s="10" t="s">
        <v>32</v>
      </c>
      <c r="J4" s="11" t="s">
        <v>28</v>
      </c>
    </row>
    <row r="5" spans="1:10" ht="14.4" customHeight="1" x14ac:dyDescent="0.3">
      <c r="A5" s="1"/>
      <c r="B5" s="10" t="s">
        <v>29</v>
      </c>
      <c r="C5" s="10" t="s">
        <v>12</v>
      </c>
      <c r="D5" s="8" t="s">
        <v>30</v>
      </c>
      <c r="E5" s="15">
        <v>2</v>
      </c>
      <c r="F5" s="16">
        <v>0.37</v>
      </c>
      <c r="G5" s="16">
        <f t="shared" si="0"/>
        <v>0.74</v>
      </c>
      <c r="H5" s="10" t="s">
        <v>31</v>
      </c>
      <c r="I5" s="10" t="s">
        <v>33</v>
      </c>
      <c r="J5" s="11" t="s">
        <v>34</v>
      </c>
    </row>
    <row r="6" spans="1:10" ht="14.4" customHeight="1" x14ac:dyDescent="0.3">
      <c r="A6" s="1"/>
      <c r="B6" s="10" t="s">
        <v>40</v>
      </c>
      <c r="C6" s="10" t="s">
        <v>12</v>
      </c>
      <c r="D6" s="8" t="s">
        <v>36</v>
      </c>
      <c r="E6" s="15">
        <v>1</v>
      </c>
      <c r="F6" s="16">
        <v>0.24</v>
      </c>
      <c r="G6" s="16">
        <f t="shared" si="0"/>
        <v>0.24</v>
      </c>
      <c r="H6" s="12" t="s">
        <v>37</v>
      </c>
      <c r="I6" s="10" t="s">
        <v>35</v>
      </c>
      <c r="J6" s="11" t="s">
        <v>41</v>
      </c>
    </row>
    <row r="7" spans="1:10" ht="14.4" customHeight="1" x14ac:dyDescent="0.3">
      <c r="A7" s="1"/>
      <c r="B7" s="10" t="s">
        <v>43</v>
      </c>
      <c r="C7" s="10" t="s">
        <v>12</v>
      </c>
      <c r="D7" s="8" t="s">
        <v>42</v>
      </c>
      <c r="E7" s="15">
        <v>1</v>
      </c>
      <c r="F7" s="16">
        <v>0.81</v>
      </c>
      <c r="G7" s="16">
        <f>$F7*$E7</f>
        <v>0.81</v>
      </c>
      <c r="H7" s="10" t="s">
        <v>38</v>
      </c>
      <c r="I7" s="10" t="s">
        <v>54</v>
      </c>
      <c r="J7" s="11" t="s">
        <v>44</v>
      </c>
    </row>
    <row r="8" spans="1:10" ht="14.4" customHeight="1" x14ac:dyDescent="0.3">
      <c r="A8" s="1"/>
      <c r="B8" s="10" t="s">
        <v>43</v>
      </c>
      <c r="C8" s="10" t="s">
        <v>12</v>
      </c>
      <c r="D8" s="8" t="s">
        <v>45</v>
      </c>
      <c r="E8" s="15">
        <v>1</v>
      </c>
      <c r="F8" s="16">
        <v>0.16</v>
      </c>
      <c r="G8" s="16">
        <f>$F8*$E8</f>
        <v>0.16</v>
      </c>
      <c r="H8" s="10" t="s">
        <v>39</v>
      </c>
      <c r="I8" s="10" t="s">
        <v>53</v>
      </c>
      <c r="J8" s="11" t="s">
        <v>46</v>
      </c>
    </row>
    <row r="9" spans="1:10" x14ac:dyDescent="0.3">
      <c r="A9" s="13"/>
      <c r="B9" s="9" t="s">
        <v>19</v>
      </c>
      <c r="C9" s="13" t="s">
        <v>18</v>
      </c>
      <c r="D9" s="13"/>
      <c r="E9" s="17">
        <v>1</v>
      </c>
      <c r="F9" s="18">
        <v>18</v>
      </c>
      <c r="G9" s="16">
        <f t="shared" si="0"/>
        <v>18</v>
      </c>
      <c r="H9" s="13" t="s">
        <v>17</v>
      </c>
      <c r="I9" s="13" t="s">
        <v>51</v>
      </c>
      <c r="J9" s="14" t="s">
        <v>47</v>
      </c>
    </row>
    <row r="10" spans="1:10" x14ac:dyDescent="0.3">
      <c r="A10" s="13"/>
      <c r="B10" s="9" t="s">
        <v>19</v>
      </c>
      <c r="C10" s="13" t="s">
        <v>18</v>
      </c>
      <c r="D10" s="13"/>
      <c r="E10" s="17">
        <v>1</v>
      </c>
      <c r="F10" s="18">
        <v>27</v>
      </c>
      <c r="G10" s="16">
        <f t="shared" si="0"/>
        <v>27</v>
      </c>
      <c r="H10" s="13" t="s">
        <v>20</v>
      </c>
      <c r="I10" s="13" t="s">
        <v>54</v>
      </c>
      <c r="J10" s="14" t="s">
        <v>48</v>
      </c>
    </row>
    <row r="11" spans="1:10" x14ac:dyDescent="0.3">
      <c r="A11" s="13"/>
      <c r="B11" s="13" t="s">
        <v>22</v>
      </c>
      <c r="C11" s="13" t="s">
        <v>18</v>
      </c>
      <c r="D11" s="13"/>
      <c r="E11" s="17">
        <v>1</v>
      </c>
      <c r="F11" s="18">
        <v>10</v>
      </c>
      <c r="G11" s="16">
        <f t="shared" si="0"/>
        <v>10</v>
      </c>
      <c r="H11" s="13" t="s">
        <v>21</v>
      </c>
      <c r="I11" s="13" t="s">
        <v>52</v>
      </c>
      <c r="J11" s="14" t="s">
        <v>49</v>
      </c>
    </row>
    <row r="12" spans="1:10" x14ac:dyDescent="0.3">
      <c r="A12" s="13"/>
      <c r="B12" s="9" t="s">
        <v>24</v>
      </c>
      <c r="C12" s="13" t="s">
        <v>18</v>
      </c>
      <c r="D12" s="13"/>
      <c r="E12" s="17">
        <v>1</v>
      </c>
      <c r="F12" s="18">
        <v>8</v>
      </c>
      <c r="G12" s="16">
        <f t="shared" si="0"/>
        <v>8</v>
      </c>
      <c r="H12" s="13" t="s">
        <v>23</v>
      </c>
      <c r="I12" s="13" t="s">
        <v>53</v>
      </c>
      <c r="J12" s="14" t="s">
        <v>50</v>
      </c>
    </row>
    <row r="13" spans="1:10" x14ac:dyDescent="0.3">
      <c r="E13" s="19"/>
      <c r="F13" s="19"/>
      <c r="G13" s="20">
        <f>SUM(G3:G12)</f>
        <v>66.28</v>
      </c>
    </row>
  </sheetData>
  <mergeCells count="2">
    <mergeCell ref="A1:G1"/>
    <mergeCell ref="H1:J1"/>
  </mergeCells>
  <hyperlinks>
    <hyperlink ref="J3" r:id="rId1" xr:uid="{5E7A3A95-E53A-43E2-B17A-ECFD912CB9B9}"/>
    <hyperlink ref="J9" r:id="rId2" xr:uid="{48248228-3FE1-433F-AC99-44ADFB86F4E9}"/>
    <hyperlink ref="J10" r:id="rId3" xr:uid="{1B2C6223-8B28-41A6-A9C2-285D47853CC9}"/>
    <hyperlink ref="J11" r:id="rId4" xr:uid="{3DDE28E1-69A6-4BB4-B0B6-D07DE4A81F0C}"/>
    <hyperlink ref="J12" r:id="rId5" xr:uid="{8B5D7820-A7E9-4465-ADB8-99B144E4D3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Cristinel Ababei</dc:creator>
  <cp:lastModifiedBy>Ababei, Cris</cp:lastModifiedBy>
  <dcterms:created xsi:type="dcterms:W3CDTF">2015-06-05T18:17:20Z</dcterms:created>
  <dcterms:modified xsi:type="dcterms:W3CDTF">2026-01-10T01:51:22Z</dcterms:modified>
</cp:coreProperties>
</file>